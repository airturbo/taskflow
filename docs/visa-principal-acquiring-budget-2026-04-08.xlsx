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说明" sheetId="1" r:id="rId1"/>
    <sheet name="预算清单" sheetId="2" r:id="rId2"/>
    <sheet name="预算汇总" sheetId="3" r:id="rId3"/>
    <sheet name="预算时间线" sheetId="4" r:id="rId4"/>
  </sheets>
  <definedNames>
    <definedName name="_xlnm._FilterDatabase" localSheetId="3" hidden="1">预算时间线!$A$1:$E$11</definedName>
    <definedName name="_xlnm._FilterDatabase" localSheetId="1" hidden="1">预算清单!$A$1:$S$29</definedName>
  </definedNames>
  <calcPr calcId="124519" fullCalcOnLoad="1"/>
</workbook>
</file>

<file path=xl/sharedStrings.xml><?xml version="1.0" encoding="utf-8"?>
<sst xmlns="http://schemas.openxmlformats.org/spreadsheetml/2006/main" count="499" uniqueCount="328">
  <si>
    <t>Visa Principal Acquiring 预算版 Excel</t>
  </si>
  <si>
    <t>项目</t>
  </si>
  <si>
    <t>内容</t>
  </si>
  <si>
    <t>来源文件</t>
  </si>
  <si>
    <t>Projected Setup Cost  Principal Acquiring070426.pdf</t>
  </si>
  <si>
    <t>预算口径</t>
  </si>
  <si>
    <t>一次性基线 + 可选事件缓冲 + 年化经常性；交易级费率单独待补</t>
  </si>
  <si>
    <t>建议用法</t>
  </si>
  <si>
    <t>先在“预算清单”确定适用项和是否纳入预算，再看“预算汇总”读当前预算与压力预算</t>
  </si>
  <si>
    <t>关键字段</t>
  </si>
  <si>
    <t>“是否适用”“是否纳入预算”可直接改；当前纳入预算和压力预算会自动汇总</t>
  </si>
  <si>
    <t>注意</t>
  </si>
  <si>
    <t>带范围的项目默认采用建议预算和压力预算双口径；最新收费仍以 Visa Fee Schedule / Visa Online / MIDAS 正式回复为准</t>
  </si>
  <si>
    <t>ID</t>
  </si>
  <si>
    <t>阶段/节点</t>
  </si>
  <si>
    <t>费用项</t>
  </si>
  <si>
    <t>费用分组</t>
  </si>
  <si>
    <t>是否必选</t>
  </si>
  <si>
    <t>是否适用</t>
  </si>
  <si>
    <t>是否纳入预算</t>
  </si>
  <si>
    <t>预算 Owner</t>
  </si>
  <si>
    <t>预计发生时点</t>
  </si>
  <si>
    <t>金额下限(USD)</t>
  </si>
  <si>
    <t>建议预算(USD)</t>
  </si>
  <si>
    <t>压力预算(USD)</t>
  </si>
  <si>
    <t>当前纳入预算(USD)</t>
  </si>
  <si>
    <t>当前压力预算(USD)</t>
  </si>
  <si>
    <t>备注/假设</t>
  </si>
  <si>
    <t>待确认问题</t>
  </si>
  <si>
    <t>风险等级</t>
  </si>
  <si>
    <t>下一步动作</t>
  </si>
  <si>
    <t>LIC-01</t>
  </si>
  <si>
    <t>Licensing kick-off</t>
  </si>
  <si>
    <t>Initial Service Fee</t>
  </si>
  <si>
    <t>Licensing</t>
  </si>
  <si>
    <t>一次性基线</t>
  </si>
  <si>
    <t>是</t>
  </si>
  <si>
    <t>Finance + Biz Owner + Legal/Compliance</t>
  </si>
  <si>
    <t>License 审批启动前</t>
  </si>
  <si>
    <t>Principal 示例值</t>
  </si>
  <si>
    <t>是否必须全额预付后才继续审批？</t>
  </si>
  <si>
    <t>高</t>
  </si>
  <si>
    <t>锁定付款前置条件与审批顺序</t>
  </si>
  <si>
    <t>LIC-02</t>
  </si>
  <si>
    <t>Provisional BID assigned</t>
  </si>
  <si>
    <t>Numeric Licensing Fee</t>
  </si>
  <si>
    <t>Implementation Lead + Finance</t>
  </si>
  <si>
    <t>Provisional BID 批下后 / BIN 分配当月</t>
  </si>
  <si>
    <t>按示例 2 BIN 估算</t>
  </si>
  <si>
    <t>“当月开票”与“BIN go-live 后 billing timing”之间，实际扣款日是哪天？</t>
  </si>
  <si>
    <t>中</t>
  </si>
  <si>
    <t>确认 invoice date 与 actual collection date</t>
  </si>
  <si>
    <t>IMP-01</t>
  </si>
  <si>
    <t>Implementation kick-off</t>
  </si>
  <si>
    <t>Project Management Fee</t>
  </si>
  <si>
    <t>Implementation</t>
  </si>
  <si>
    <t>PM/Implementation Lead + Finance</t>
  </si>
  <si>
    <t>Implementation 启动后 6 个月口径</t>
  </si>
  <si>
    <t>示例按 6 个月；压力口径按 8 个月</t>
  </si>
  <si>
    <t>如果实施超过 6 个月，是否继续按月累计？</t>
  </si>
  <si>
    <t>把 implementation 月数纳入预算基线</t>
  </si>
  <si>
    <t>CFG-01</t>
  </si>
  <si>
    <t>CIQ 完成 + config request 提交</t>
  </si>
  <si>
    <t>New Program Installation</t>
  </si>
  <si>
    <t>Configuration</t>
  </si>
  <si>
    <t>Implementation Lead</t>
  </si>
  <si>
    <t>CIQ 完成并提交配置请求后</t>
  </si>
  <si>
    <t>示例按 1 CIB + 1 PCR；压力口径预留额外 numeric</t>
  </si>
  <si>
    <t>Settlement BIN 是否单独收费、是否已包含在当前示例里？</t>
  </si>
  <si>
    <t>冻结架构后再提配置</t>
  </si>
  <si>
    <t>CFG-02</t>
  </si>
  <si>
    <t>Endpoint Certification Issuance Fee</t>
  </si>
  <si>
    <t>Network/Infra Lead + Implementation</t>
  </si>
  <si>
    <t>建议按 Prod + DR 两张证书预算</t>
  </si>
  <si>
    <t>Production 和 DR 是否各要一张证书？</t>
  </si>
  <si>
    <t>确认 endpoint 与证书数量</t>
  </si>
  <si>
    <t>CFG-03</t>
  </si>
  <si>
    <t>证书请求</t>
  </si>
  <si>
    <t>eCommerce Digital Certificate Issuance</t>
  </si>
  <si>
    <t>否</t>
  </si>
  <si>
    <t>待定</t>
  </si>
  <si>
    <t>3DS Owner + Implementation</t>
  </si>
  <si>
    <t>3DS 方案确定后</t>
  </si>
  <si>
    <t>仅自建/持有 3DS Server 时适用</t>
  </si>
  <si>
    <t>如果使用第三方 3DS，证书费由谁承担？</t>
  </si>
  <si>
    <t>确认 3DS 接入模式与证书 owner</t>
  </si>
  <si>
    <t>TST-01</t>
  </si>
  <si>
    <t>Attended testing 完成</t>
  </si>
  <si>
    <t>Attended Testing Fee</t>
  </si>
  <si>
    <t>Testing</t>
  </si>
  <si>
    <t>QA/Test Lead + Finance</t>
  </si>
  <si>
    <t>Attended testing 完成后</t>
  </si>
  <si>
    <t>示例按 12 小时；压力口径按 16 小时</t>
  </si>
  <si>
    <t>超出预估小时数如何加收？是否按实际小时滚动？</t>
  </si>
  <si>
    <t>锁定测试时长预估与排期</t>
  </si>
  <si>
    <t>TST-02</t>
  </si>
  <si>
    <t>提交 test card request</t>
  </si>
  <si>
    <t>Host Test Cards Package</t>
  </si>
  <si>
    <t>QA/Test Lead</t>
  </si>
  <si>
    <t>测试准备阶段</t>
  </si>
  <si>
    <t>按 1 package 估算</t>
  </si>
  <si>
    <t>一个 package 覆盖多少测试场景？需不需要重复买？</t>
  </si>
  <si>
    <t>低</t>
  </si>
  <si>
    <t>核对测试卡覆盖范围</t>
  </si>
  <si>
    <t>TST-03</t>
  </si>
  <si>
    <t>申请 VSTS access</t>
  </si>
  <si>
    <t>Visa Secure Test Suite (VSTS)</t>
  </si>
  <si>
    <t>3DS Owner + QA</t>
  </si>
  <si>
    <t>3DS 测试窗口开启时</t>
  </si>
  <si>
    <t>90 天订阅；压力口径按续费一次</t>
  </si>
  <si>
    <t>如果 90 天测试未完成，是否续费同价？</t>
  </si>
  <si>
    <t>按真实测试窗口申请订阅</t>
  </si>
  <si>
    <t>TST-04</t>
  </si>
  <si>
    <t>IM 确认 proceed with VCX</t>
  </si>
  <si>
    <t>Visa Clearing Exchange License Fee</t>
  </si>
  <si>
    <t>Processing/Settlement Lead</t>
  </si>
  <si>
    <t>VCX 方案确认后</t>
  </si>
  <si>
    <t>仅需 VCX 时适用</t>
  </si>
  <si>
    <t>如果第三方 processor 已覆盖，是否可完全不买？</t>
  </si>
  <si>
    <t>比较自建与第三方 processor 成本</t>
  </si>
  <si>
    <t>TST-05</t>
  </si>
  <si>
    <t>提交 VTS 工具申请表</t>
  </si>
  <si>
    <t>VisaNet Test System – System License Fee</t>
  </si>
  <si>
    <t>Host testing 工具申请后</t>
  </si>
  <si>
    <t>按单次系统许可证估算</t>
  </si>
  <si>
    <t>是一次买断还是本项目一次性授权？</t>
  </si>
  <si>
    <t>确认授权性质与复用范围</t>
  </si>
  <si>
    <t>ACC-01</t>
  </si>
  <si>
    <t>全部 testing + certification 完成</t>
  </si>
  <si>
    <t>Visa Cloud Connect Access Fee / New EAS Installation Fee</t>
  </si>
  <si>
    <t>Access</t>
  </si>
  <si>
    <t>Infra/Network Lead + Finance</t>
  </si>
  <si>
    <t>Endpoint activation 时</t>
  </si>
  <si>
    <t>示例按 1 Prod + 1 DR endpoint</t>
  </si>
  <si>
    <t>1 Production + 1 DR 是否固定两笔？后续新增 endpoint 如何收费？</t>
  </si>
  <si>
    <t>在是否 own endpoint 上做总成本比较</t>
  </si>
  <si>
    <t>EVT-01</t>
  </si>
  <si>
    <t>配置改期</t>
  </si>
  <si>
    <t>Configuration Reschedule</t>
  </si>
  <si>
    <t>Event</t>
  </si>
  <si>
    <t>可选事件缓冲</t>
  </si>
  <si>
    <t>PM/Implementation Lead</t>
  </si>
  <si>
    <t>若改实施日期</t>
  </si>
  <si>
    <t>建议保留 1 次缓冲；压力口径按 2 次</t>
  </si>
  <si>
    <t>变更窗口多晚之前改不收费？</t>
  </si>
  <si>
    <t>能不改就不改</t>
  </si>
  <si>
    <t>EVT-02</t>
  </si>
  <si>
    <t>配置取消</t>
  </si>
  <si>
    <t>Configuration Cancellation</t>
  </si>
  <si>
    <t>若取消配置请求</t>
  </si>
  <si>
    <t>默认不纳入；若范围不稳可打开</t>
  </si>
  <si>
    <t>哪类取消能豁免？</t>
  </si>
  <si>
    <t>范围未冻结前不要提交配置</t>
  </si>
  <si>
    <t>EVT-03</t>
  </si>
  <si>
    <t>要求加急配置</t>
  </si>
  <si>
    <t>Configuration Expedite</t>
  </si>
  <si>
    <t>若未满足 lead time 但要求加急</t>
  </si>
  <si>
    <t>默认不纳入；压力口径按 2 次</t>
  </si>
  <si>
    <t>最小 lead time 具体按哪张 Visa 日历？</t>
  </si>
  <si>
    <t>把外部依赖前置，避免临时加急</t>
  </si>
  <si>
    <t>EVT-04</t>
  </si>
  <si>
    <t>要求加急出证</t>
  </si>
  <si>
    <t>Expedited Endpoint Certification Issuance Fee</t>
  </si>
  <si>
    <t>Infra/Network Lead</t>
  </si>
  <si>
    <t>若加急发证</t>
  </si>
  <si>
    <t>按 1-2 张证书缓冲</t>
  </si>
  <si>
    <t>各类证书标准 lead time 各是多少？</t>
  </si>
  <si>
    <t>提前锁证书窗口</t>
  </si>
  <si>
    <t>EVT-05</t>
  </si>
  <si>
    <t>申请高优先级测试 slot</t>
  </si>
  <si>
    <t>Expedited Testing Requests</t>
  </si>
  <si>
    <t>若需要测试加急</t>
  </si>
  <si>
    <t>按 1-2 次缓冲</t>
  </si>
  <si>
    <t>2 小时以上如何计费？</t>
  </si>
  <si>
    <t>测试排程一次排准</t>
  </si>
  <si>
    <t>EVT-06</t>
  </si>
  <si>
    <t>临期取消已排期测试</t>
  </si>
  <si>
    <t>Cancellation Fee for Scheduled Attended Testing</t>
  </si>
  <si>
    <t>QA/Test Lead + PM</t>
  </si>
  <si>
    <t>若 24 小时内取消测试</t>
  </si>
  <si>
    <t>2 小时 minimum 是否代表少于 2 小时也按 2 小时逻辑收？</t>
  </si>
  <si>
    <t>避免临期取消</t>
  </si>
  <si>
    <t>REC-01</t>
  </si>
  <si>
    <t>服务开通后</t>
  </si>
  <si>
    <t>Visa Online Access Fee</t>
  </si>
  <si>
    <t>Recurring</t>
  </si>
  <si>
    <t>年化经常性</t>
  </si>
  <si>
    <t>Operations + Finance</t>
  </si>
  <si>
    <t>服务开通后首年</t>
  </si>
  <si>
    <t>按 1 Business ID 年化示例</t>
  </si>
  <si>
    <t>从 Provisional BID 还是正式 Business ID 开始计？</t>
  </si>
  <si>
    <t>核准起算节点与 Business ID 生效日</t>
  </si>
  <si>
    <t>REC-02</t>
  </si>
  <si>
    <t>Visa Resolve Online</t>
  </si>
  <si>
    <t>Dispute Ops + Finance</t>
  </si>
  <si>
    <t>VROL 开通后首年</t>
  </si>
  <si>
    <t>按月费年化</t>
  </si>
  <si>
    <t>如果只做 acquirer access，是否仍按完整月费收？</t>
  </si>
  <si>
    <t>确认 dispute access 范围</t>
  </si>
  <si>
    <t>REC-03</t>
  </si>
  <si>
    <t>年度订阅开通后</t>
  </si>
  <si>
    <t>Testing Self-Service Tools</t>
  </si>
  <si>
    <t>自测工具开通后首年</t>
  </si>
  <si>
    <t>仅使用自测工具时适用</t>
  </si>
  <si>
    <t>是否自动续费？</t>
  </si>
  <si>
    <t>明确续费和取消机制</t>
  </si>
  <si>
    <t>REC-04</t>
  </si>
  <si>
    <t>VCX 上线后</t>
  </si>
  <si>
    <t>VCX Subscription</t>
  </si>
  <si>
    <t>Processing/Settlement Lead + Finance</t>
  </si>
  <si>
    <t>VCX 方案启用后首年</t>
  </si>
  <si>
    <t>按 1 CIB 年化示例</t>
  </si>
  <si>
    <t>多个 CIB 如何累计？</t>
  </si>
  <si>
    <t>按 CIB 维度估算长期成本</t>
  </si>
  <si>
    <t>REC-05</t>
  </si>
  <si>
    <t>TPA 注册后</t>
  </si>
  <si>
    <t>Third Party Agent Fees</t>
  </si>
  <si>
    <t>Partner Mgmt + Compliance + Finance</t>
  </si>
  <si>
    <t>TPA 启用后首年</t>
  </si>
  <si>
    <t>示例取 5,000；按 merchant volume 分档</t>
  </si>
  <si>
    <t>最终 volume 档位以哪版 Fee Schedule 为准？</t>
  </si>
  <si>
    <t>补拉最新 Fee Schedule 档位表</t>
  </si>
  <si>
    <t>REC-06</t>
  </si>
  <si>
    <t>直接清算关系成立后</t>
  </si>
  <si>
    <t>FTSRE Fee</t>
  </si>
  <si>
    <t>Treasury/Settlement Ops</t>
  </si>
  <si>
    <t>直接清算关系建立后首年</t>
  </si>
  <si>
    <t>单币种国际结算可不需要；压力口径按 1 点位年化</t>
  </si>
  <si>
    <t>单币种国际结算可否完全免掉？</t>
  </si>
  <si>
    <t>确认 settlement currency 架构</t>
  </si>
  <si>
    <t>REC-07</t>
  </si>
  <si>
    <t>自建 endpoint 上线后</t>
  </si>
  <si>
    <t>Visa Cloud Connect Monthly Maintenance Fee</t>
  </si>
  <si>
    <t>自建 endpoint 投产后首年</t>
  </si>
  <si>
    <t>文档月费 5,000-50,000；建议先用下限建模，压力口径按上限</t>
  </si>
  <si>
    <t>volume 阶梯怎么切档？</t>
  </si>
  <si>
    <t>尽快拿到 volume pricing 规则</t>
  </si>
  <si>
    <t>POST-01</t>
  </si>
  <si>
    <t>宽限期结束</t>
  </si>
  <si>
    <t>Quarterly Minimum Fee</t>
  </si>
  <si>
    <t>Finance + Biz Owner</t>
  </si>
  <si>
    <t>P-BID 后 3 个季度宽限结束后首年</t>
  </si>
  <si>
    <t>按 7,500/季年化</t>
  </si>
  <si>
    <t>若 volume 提前启动，具体从哪个账期开始收？</t>
  </si>
  <si>
    <t>记录 P-BID 生效日并做季度倒排</t>
  </si>
  <si>
    <t>POST-02</t>
  </si>
  <si>
    <t>评级不足的运营期</t>
  </si>
  <si>
    <t>Risk Monitoring Fee</t>
  </si>
  <si>
    <t>Treasury/Risk + Finance</t>
  </si>
  <si>
    <t>无合格评级时首年</t>
  </si>
  <si>
    <t>4,000/季年化示例</t>
  </si>
  <si>
    <t>如果后续拿到评级，是否次季度起停收？</t>
  </si>
  <si>
    <t>确认评级豁免与停收规则</t>
  </si>
  <si>
    <t>POST-03</t>
  </si>
  <si>
    <t>开始跑交易后</t>
  </si>
  <si>
    <t>License / Service / Network / Transaction Fees</t>
  </si>
  <si>
    <t>Transaction</t>
  </si>
  <si>
    <t>待补费率</t>
  </si>
  <si>
    <t>Finance + Payments Ops</t>
  </si>
  <si>
    <t>交易开始后</t>
  </si>
  <si>
    <t>本 PDF 未展开，需另拉 Fee Schedule</t>
  </si>
  <si>
    <t>最新 Fee Schedule 明细能否单独拉表？</t>
  </si>
  <si>
    <t>单独建立长期利润测算底表</t>
  </si>
  <si>
    <t>指标</t>
  </si>
  <si>
    <t>当前预算(USD)</t>
  </si>
  <si>
    <t>说明</t>
  </si>
  <si>
    <t>License / Implementation / Testing / Access 等项目型成本</t>
  </si>
  <si>
    <t>用于改期、取消、加急等缓冲</t>
  </si>
  <si>
    <t>按首年 run-rate 年化</t>
  </si>
  <si>
    <t>交易级费率暂未纳入</t>
  </si>
  <si>
    <t>总预算（不含待补费率）</t>
  </si>
  <si>
    <t>当前最可执行预算口径</t>
  </si>
  <si>
    <t>高风险已纳入预算</t>
  </si>
  <si>
    <t>优先盯防高风险项</t>
  </si>
  <si>
    <t>未纳入预算的建议预算</t>
  </si>
  <si>
    <t>这些是潜在漏预算区</t>
  </si>
  <si>
    <t>建议读法</t>
  </si>
  <si>
    <t>先看“总预算（不含待补费率）”把项目预算框住，再把“未纳入预算的建议预算”压小，最后单独补 transaction fee schedule。</t>
  </si>
  <si>
    <t>时间点</t>
  </si>
  <si>
    <t>节点</t>
  </si>
  <si>
    <t>预算重点</t>
  </si>
  <si>
    <t>对应费用</t>
  </si>
  <si>
    <t>管理动作</t>
  </si>
  <si>
    <t>T0</t>
  </si>
  <si>
    <t>Licensing review kick-off</t>
  </si>
  <si>
    <t>先锁最前置现金流</t>
  </si>
  <si>
    <t>立项时直接入预算</t>
  </si>
  <si>
    <t>T1</t>
  </si>
  <si>
    <t>Provisional BID 批下</t>
  </si>
  <si>
    <t>记录宽限期时钟起点</t>
  </si>
  <si>
    <t>Numeric Licensing Fee；Quarterly Minimum Fee 时钟</t>
  </si>
  <si>
    <t>确认 P-BID 生效日</t>
  </si>
  <si>
    <t>T2</t>
  </si>
  <si>
    <t>防止实施拖长吃预算</t>
  </si>
  <si>
    <t>把月数写进里程碑</t>
  </si>
  <si>
    <t>T3</t>
  </si>
  <si>
    <t>CIQ / 配置请求提交</t>
  </si>
  <si>
    <t>配置型一次性成本集中出现</t>
  </si>
  <si>
    <t>Program Installation；各类证书费</t>
  </si>
  <si>
    <t>范围冻结后再提交</t>
  </si>
  <si>
    <t>T4</t>
  </si>
  <si>
    <t>测试准备与测试执行</t>
  </si>
  <si>
    <t>测试工具和人力成本混合爆发</t>
  </si>
  <si>
    <t>VSTS；VTS；VCX；Attended Testing</t>
  </si>
  <si>
    <t>一次排准测试，减少返工</t>
  </si>
  <si>
    <t>T5</t>
  </si>
  <si>
    <t>Endpoint activation</t>
  </si>
  <si>
    <t>自建 endpoint 大额接入费落地</t>
  </si>
  <si>
    <t>Cloud Connect Access / EAS Installation</t>
  </si>
  <si>
    <t>与第三方方案做总成本对比</t>
  </si>
  <si>
    <t>T6</t>
  </si>
  <si>
    <t>BIN go-live</t>
  </si>
  <si>
    <t>集中看前期开票与自动扣收</t>
  </si>
  <si>
    <t>多项 setup fee billing timing</t>
  </si>
  <si>
    <t>做上线前 billing checklist</t>
  </si>
  <si>
    <t>T7</t>
  </si>
  <si>
    <t>Go-live 后</t>
  </si>
  <si>
    <t>从项目支出切到运营支出</t>
  </si>
  <si>
    <t>Visa Online；VROL；VCX；Maintenance</t>
  </si>
  <si>
    <t>把 recurring fee 纳入 run-rate</t>
  </si>
  <si>
    <t>T8</t>
  </si>
  <si>
    <t>底座成本正式启动</t>
  </si>
  <si>
    <t>提前倒排季度账期</t>
  </si>
  <si>
    <t>T9</t>
  </si>
  <si>
    <t>长期运营</t>
  </si>
  <si>
    <t>看利润率而不是只看 setup fee</t>
  </si>
  <si>
    <t>Recurring fee + transaction-level fees</t>
  </si>
  <si>
    <t>持续做 run-rate 与 margin 复盘</t>
  </si>
</sst>
</file>

<file path=xl/styles.xml><?xml version="1.0" encoding="utf-8"?>
<styleSheet xmlns="http://schemas.openxmlformats.org/spreadsheetml/2006/main">
  <numFmts count="1">
    <numFmt numFmtId="164" formatCode="$#,##0;($#,##0);-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04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>
      <c r="A6" s="3" t="s">
        <v>7</v>
      </c>
      <c r="B6" s="4" t="s">
        <v>8</v>
      </c>
    </row>
    <row r="7" spans="1:2">
      <c r="A7" s="3" t="s">
        <v>9</v>
      </c>
      <c r="B7" s="4" t="s">
        <v>10</v>
      </c>
    </row>
    <row r="8" spans="1:2">
      <c r="A8" s="3" t="s">
        <v>11</v>
      </c>
      <c r="B8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34.7109375" customWidth="1"/>
    <col min="4" max="5" width="16.7109375" customWidth="1"/>
    <col min="6" max="7" width="10.7109375" customWidth="1"/>
    <col min="8" max="8" width="12.7109375" customWidth="1"/>
    <col min="9" max="9" width="28.7109375" customWidth="1"/>
    <col min="10" max="10" width="26.7109375" customWidth="1"/>
    <col min="11" max="13" width="14.7109375" customWidth="1"/>
    <col min="14" max="15" width="16.7109375" customWidth="1"/>
    <col min="16" max="16" width="28.7109375" customWidth="1"/>
    <col min="17" max="17" width="42.7109375" customWidth="1"/>
    <col min="18" max="18" width="10.7109375" customWidth="1"/>
    <col min="19" max="19" width="30.7109375" customWidth="1"/>
  </cols>
  <sheetData>
    <row r="1" spans="1:19">
      <c r="A1" s="2" t="s">
        <v>13</v>
      </c>
      <c r="B1" s="2" t="s">
        <v>14</v>
      </c>
      <c r="C1" s="2" t="s">
        <v>15</v>
      </c>
      <c r="D1" s="2" t="s">
        <v>16</v>
      </c>
      <c r="E1" s="2" t="s">
        <v>5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</row>
    <row r="2" spans="1:19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5" t="s">
        <v>36</v>
      </c>
      <c r="H2" s="5" t="s">
        <v>36</v>
      </c>
      <c r="I2" s="4" t="s">
        <v>37</v>
      </c>
      <c r="J2" s="4" t="s">
        <v>38</v>
      </c>
      <c r="K2" s="6">
        <v>75000</v>
      </c>
      <c r="L2" s="6">
        <v>75000</v>
      </c>
      <c r="M2" s="6">
        <v>75000</v>
      </c>
      <c r="N2" s="6">
        <f>IF(OR(G2="否",H2="否"),0,L2)</f>
        <v>75000</v>
      </c>
      <c r="O2" s="6">
        <f>IF(OR(G2="否",H2="否"),0,M2)</f>
        <v>75000</v>
      </c>
      <c r="P2" s="4" t="s">
        <v>39</v>
      </c>
      <c r="Q2" s="4" t="s">
        <v>40</v>
      </c>
      <c r="R2" s="7" t="s">
        <v>41</v>
      </c>
      <c r="S2" s="4" t="s">
        <v>42</v>
      </c>
    </row>
    <row r="3" spans="1:19">
      <c r="A3" s="4" t="s">
        <v>43</v>
      </c>
      <c r="B3" s="4" t="s">
        <v>44</v>
      </c>
      <c r="C3" s="4" t="s">
        <v>45</v>
      </c>
      <c r="D3" s="4" t="s">
        <v>34</v>
      </c>
      <c r="E3" s="4" t="s">
        <v>35</v>
      </c>
      <c r="F3" s="4" t="s">
        <v>36</v>
      </c>
      <c r="G3" s="5" t="s">
        <v>36</v>
      </c>
      <c r="H3" s="5" t="s">
        <v>36</v>
      </c>
      <c r="I3" s="4" t="s">
        <v>46</v>
      </c>
      <c r="J3" s="4" t="s">
        <v>47</v>
      </c>
      <c r="K3" s="6">
        <v>1000</v>
      </c>
      <c r="L3" s="6">
        <v>1000</v>
      </c>
      <c r="M3" s="6">
        <v>1000</v>
      </c>
      <c r="N3" s="6">
        <f>IF(OR(G3="否",H3="否"),0,L3)</f>
        <v>1000</v>
      </c>
      <c r="O3" s="6">
        <f>IF(OR(G3="否",H3="否"),0,M3)</f>
        <v>1000</v>
      </c>
      <c r="P3" s="4" t="s">
        <v>48</v>
      </c>
      <c r="Q3" s="4" t="s">
        <v>49</v>
      </c>
      <c r="R3" s="5" t="s">
        <v>50</v>
      </c>
      <c r="S3" s="4" t="s">
        <v>51</v>
      </c>
    </row>
    <row r="4" spans="1:19">
      <c r="A4" s="4" t="s">
        <v>52</v>
      </c>
      <c r="B4" s="4" t="s">
        <v>53</v>
      </c>
      <c r="C4" s="4" t="s">
        <v>54</v>
      </c>
      <c r="D4" s="4" t="s">
        <v>55</v>
      </c>
      <c r="E4" s="4" t="s">
        <v>35</v>
      </c>
      <c r="F4" s="4" t="s">
        <v>36</v>
      </c>
      <c r="G4" s="5" t="s">
        <v>36</v>
      </c>
      <c r="H4" s="5" t="s">
        <v>36</v>
      </c>
      <c r="I4" s="4" t="s">
        <v>56</v>
      </c>
      <c r="J4" s="4" t="s">
        <v>57</v>
      </c>
      <c r="K4" s="6">
        <v>18000</v>
      </c>
      <c r="L4" s="6">
        <v>18000</v>
      </c>
      <c r="M4" s="6">
        <v>24000</v>
      </c>
      <c r="N4" s="6">
        <f>IF(OR(G4="否",H4="否"),0,L4)</f>
        <v>18000</v>
      </c>
      <c r="O4" s="6">
        <f>IF(OR(G4="否",H4="否"),0,M4)</f>
        <v>24000</v>
      </c>
      <c r="P4" s="4" t="s">
        <v>58</v>
      </c>
      <c r="Q4" s="4" t="s">
        <v>59</v>
      </c>
      <c r="R4" s="7" t="s">
        <v>41</v>
      </c>
      <c r="S4" s="4" t="s">
        <v>60</v>
      </c>
    </row>
    <row r="5" spans="1:19">
      <c r="A5" s="4" t="s">
        <v>61</v>
      </c>
      <c r="B5" s="4" t="s">
        <v>62</v>
      </c>
      <c r="C5" s="4" t="s">
        <v>63</v>
      </c>
      <c r="D5" s="4" t="s">
        <v>64</v>
      </c>
      <c r="E5" s="4" t="s">
        <v>35</v>
      </c>
      <c r="F5" s="4" t="s">
        <v>36</v>
      </c>
      <c r="G5" s="5" t="s">
        <v>36</v>
      </c>
      <c r="H5" s="5" t="s">
        <v>36</v>
      </c>
      <c r="I5" s="4" t="s">
        <v>65</v>
      </c>
      <c r="J5" s="4" t="s">
        <v>66</v>
      </c>
      <c r="K5" s="6">
        <v>6000</v>
      </c>
      <c r="L5" s="6">
        <v>6000</v>
      </c>
      <c r="M5" s="6">
        <v>9000</v>
      </c>
      <c r="N5" s="6">
        <f>IF(OR(G5="否",H5="否"),0,L5)</f>
        <v>6000</v>
      </c>
      <c r="O5" s="6">
        <f>IF(OR(G5="否",H5="否"),0,M5)</f>
        <v>9000</v>
      </c>
      <c r="P5" s="4" t="s">
        <v>67</v>
      </c>
      <c r="Q5" s="4" t="s">
        <v>68</v>
      </c>
      <c r="R5" s="5" t="s">
        <v>50</v>
      </c>
      <c r="S5" s="4" t="s">
        <v>69</v>
      </c>
    </row>
    <row r="6" spans="1:19">
      <c r="A6" s="4" t="s">
        <v>70</v>
      </c>
      <c r="B6" s="4" t="s">
        <v>62</v>
      </c>
      <c r="C6" s="4" t="s">
        <v>71</v>
      </c>
      <c r="D6" s="4" t="s">
        <v>64</v>
      </c>
      <c r="E6" s="4" t="s">
        <v>35</v>
      </c>
      <c r="F6" s="4" t="s">
        <v>36</v>
      </c>
      <c r="G6" s="5" t="s">
        <v>36</v>
      </c>
      <c r="H6" s="5" t="s">
        <v>36</v>
      </c>
      <c r="I6" s="4" t="s">
        <v>72</v>
      </c>
      <c r="J6" s="4" t="s">
        <v>66</v>
      </c>
      <c r="K6" s="6">
        <v>550</v>
      </c>
      <c r="L6" s="6">
        <v>1100</v>
      </c>
      <c r="M6" s="6">
        <v>1100</v>
      </c>
      <c r="N6" s="6">
        <f>IF(OR(G6="否",H6="否"),0,L6)</f>
        <v>1100</v>
      </c>
      <c r="O6" s="6">
        <f>IF(OR(G6="否",H6="否"),0,M6)</f>
        <v>1100</v>
      </c>
      <c r="P6" s="4" t="s">
        <v>73</v>
      </c>
      <c r="Q6" s="4" t="s">
        <v>74</v>
      </c>
      <c r="R6" s="5" t="s">
        <v>50</v>
      </c>
      <c r="S6" s="4" t="s">
        <v>75</v>
      </c>
    </row>
    <row r="7" spans="1:19">
      <c r="A7" s="4" t="s">
        <v>76</v>
      </c>
      <c r="B7" s="4" t="s">
        <v>77</v>
      </c>
      <c r="C7" s="4" t="s">
        <v>78</v>
      </c>
      <c r="D7" s="4" t="s">
        <v>64</v>
      </c>
      <c r="E7" s="4" t="s">
        <v>35</v>
      </c>
      <c r="F7" s="4" t="s">
        <v>79</v>
      </c>
      <c r="G7" s="5" t="s">
        <v>80</v>
      </c>
      <c r="H7" s="5" t="s">
        <v>79</v>
      </c>
      <c r="I7" s="4" t="s">
        <v>81</v>
      </c>
      <c r="J7" s="4" t="s">
        <v>82</v>
      </c>
      <c r="K7" s="6">
        <v>550</v>
      </c>
      <c r="L7" s="6">
        <v>550</v>
      </c>
      <c r="M7" s="6">
        <v>1100</v>
      </c>
      <c r="N7" s="6">
        <f>IF(OR(G7="否",H7="否"),0,L7)</f>
        <v>0</v>
      </c>
      <c r="O7" s="6">
        <f>IF(OR(G7="否",H7="否"),0,M7)</f>
        <v>0</v>
      </c>
      <c r="P7" s="4" t="s">
        <v>83</v>
      </c>
      <c r="Q7" s="4" t="s">
        <v>84</v>
      </c>
      <c r="R7" s="5" t="s">
        <v>50</v>
      </c>
      <c r="S7" s="4" t="s">
        <v>85</v>
      </c>
    </row>
    <row r="8" spans="1:19">
      <c r="A8" s="4" t="s">
        <v>86</v>
      </c>
      <c r="B8" s="4" t="s">
        <v>87</v>
      </c>
      <c r="C8" s="4" t="s">
        <v>88</v>
      </c>
      <c r="D8" s="4" t="s">
        <v>89</v>
      </c>
      <c r="E8" s="4" t="s">
        <v>35</v>
      </c>
      <c r="F8" s="4" t="s">
        <v>36</v>
      </c>
      <c r="G8" s="5" t="s">
        <v>36</v>
      </c>
      <c r="H8" s="5" t="s">
        <v>36</v>
      </c>
      <c r="I8" s="4" t="s">
        <v>90</v>
      </c>
      <c r="J8" s="4" t="s">
        <v>91</v>
      </c>
      <c r="K8" s="6">
        <v>12000</v>
      </c>
      <c r="L8" s="6">
        <v>12000</v>
      </c>
      <c r="M8" s="6">
        <v>16000</v>
      </c>
      <c r="N8" s="6">
        <f>IF(OR(G8="否",H8="否"),0,L8)</f>
        <v>12000</v>
      </c>
      <c r="O8" s="6">
        <f>IF(OR(G8="否",H8="否"),0,M8)</f>
        <v>16000</v>
      </c>
      <c r="P8" s="4" t="s">
        <v>92</v>
      </c>
      <c r="Q8" s="4" t="s">
        <v>93</v>
      </c>
      <c r="R8" s="7" t="s">
        <v>41</v>
      </c>
      <c r="S8" s="4" t="s">
        <v>94</v>
      </c>
    </row>
    <row r="9" spans="1:19">
      <c r="A9" s="4" t="s">
        <v>95</v>
      </c>
      <c r="B9" s="4" t="s">
        <v>96</v>
      </c>
      <c r="C9" s="4" t="s">
        <v>97</v>
      </c>
      <c r="D9" s="4" t="s">
        <v>89</v>
      </c>
      <c r="E9" s="4" t="s">
        <v>35</v>
      </c>
      <c r="F9" s="4" t="s">
        <v>79</v>
      </c>
      <c r="G9" s="5" t="s">
        <v>80</v>
      </c>
      <c r="H9" s="5" t="s">
        <v>79</v>
      </c>
      <c r="I9" s="4" t="s">
        <v>98</v>
      </c>
      <c r="J9" s="4" t="s">
        <v>99</v>
      </c>
      <c r="K9" s="6">
        <v>1000</v>
      </c>
      <c r="L9" s="6">
        <v>1000</v>
      </c>
      <c r="M9" s="6">
        <v>2000</v>
      </c>
      <c r="N9" s="6">
        <f>IF(OR(G9="否",H9="否"),0,L9)</f>
        <v>0</v>
      </c>
      <c r="O9" s="6">
        <f>IF(OR(G9="否",H9="否"),0,M9)</f>
        <v>0</v>
      </c>
      <c r="P9" s="4" t="s">
        <v>100</v>
      </c>
      <c r="Q9" s="4" t="s">
        <v>101</v>
      </c>
      <c r="R9" s="8" t="s">
        <v>102</v>
      </c>
      <c r="S9" s="4" t="s">
        <v>103</v>
      </c>
    </row>
    <row r="10" spans="1:19">
      <c r="A10" s="4" t="s">
        <v>104</v>
      </c>
      <c r="B10" s="4" t="s">
        <v>105</v>
      </c>
      <c r="C10" s="4" t="s">
        <v>106</v>
      </c>
      <c r="D10" s="4" t="s">
        <v>89</v>
      </c>
      <c r="E10" s="4" t="s">
        <v>35</v>
      </c>
      <c r="F10" s="4" t="s">
        <v>79</v>
      </c>
      <c r="G10" s="5" t="s">
        <v>80</v>
      </c>
      <c r="H10" s="5" t="s">
        <v>79</v>
      </c>
      <c r="I10" s="4" t="s">
        <v>107</v>
      </c>
      <c r="J10" s="4" t="s">
        <v>108</v>
      </c>
      <c r="K10" s="6">
        <v>7500</v>
      </c>
      <c r="L10" s="6">
        <v>7500</v>
      </c>
      <c r="M10" s="6">
        <v>15000</v>
      </c>
      <c r="N10" s="6">
        <f>IF(OR(G10="否",H10="否"),0,L10)</f>
        <v>0</v>
      </c>
      <c r="O10" s="6">
        <f>IF(OR(G10="否",H10="否"),0,M10)</f>
        <v>0</v>
      </c>
      <c r="P10" s="4" t="s">
        <v>109</v>
      </c>
      <c r="Q10" s="4" t="s">
        <v>110</v>
      </c>
      <c r="R10" s="5" t="s">
        <v>50</v>
      </c>
      <c r="S10" s="4" t="s">
        <v>111</v>
      </c>
    </row>
    <row r="11" spans="1:19">
      <c r="A11" s="4" t="s">
        <v>112</v>
      </c>
      <c r="B11" s="4" t="s">
        <v>113</v>
      </c>
      <c r="C11" s="4" t="s">
        <v>114</v>
      </c>
      <c r="D11" s="4" t="s">
        <v>89</v>
      </c>
      <c r="E11" s="4" t="s">
        <v>35</v>
      </c>
      <c r="F11" s="4" t="s">
        <v>79</v>
      </c>
      <c r="G11" s="5" t="s">
        <v>80</v>
      </c>
      <c r="H11" s="5" t="s">
        <v>79</v>
      </c>
      <c r="I11" s="4" t="s">
        <v>115</v>
      </c>
      <c r="J11" s="4" t="s">
        <v>116</v>
      </c>
      <c r="K11" s="6">
        <v>8000</v>
      </c>
      <c r="L11" s="6">
        <v>8000</v>
      </c>
      <c r="M11" s="6">
        <v>8000</v>
      </c>
      <c r="N11" s="6">
        <f>IF(OR(G11="否",H11="否"),0,L11)</f>
        <v>0</v>
      </c>
      <c r="O11" s="6">
        <f>IF(OR(G11="否",H11="否"),0,M11)</f>
        <v>0</v>
      </c>
      <c r="P11" s="4" t="s">
        <v>117</v>
      </c>
      <c r="Q11" s="4" t="s">
        <v>118</v>
      </c>
      <c r="R11" s="5" t="s">
        <v>50</v>
      </c>
      <c r="S11" s="4" t="s">
        <v>119</v>
      </c>
    </row>
    <row r="12" spans="1:19">
      <c r="A12" s="4" t="s">
        <v>120</v>
      </c>
      <c r="B12" s="4" t="s">
        <v>121</v>
      </c>
      <c r="C12" s="4" t="s">
        <v>122</v>
      </c>
      <c r="D12" s="4" t="s">
        <v>89</v>
      </c>
      <c r="E12" s="4" t="s">
        <v>35</v>
      </c>
      <c r="F12" s="4" t="s">
        <v>79</v>
      </c>
      <c r="G12" s="5" t="s">
        <v>80</v>
      </c>
      <c r="H12" s="5" t="s">
        <v>79</v>
      </c>
      <c r="I12" s="4" t="s">
        <v>98</v>
      </c>
      <c r="J12" s="4" t="s">
        <v>123</v>
      </c>
      <c r="K12" s="6">
        <v>5000</v>
      </c>
      <c r="L12" s="6">
        <v>5000</v>
      </c>
      <c r="M12" s="6">
        <v>5000</v>
      </c>
      <c r="N12" s="6">
        <f>IF(OR(G12="否",H12="否"),0,L12)</f>
        <v>0</v>
      </c>
      <c r="O12" s="6">
        <f>IF(OR(G12="否",H12="否"),0,M12)</f>
        <v>0</v>
      </c>
      <c r="P12" s="4" t="s">
        <v>124</v>
      </c>
      <c r="Q12" s="4" t="s">
        <v>125</v>
      </c>
      <c r="R12" s="5" t="s">
        <v>50</v>
      </c>
      <c r="S12" s="4" t="s">
        <v>126</v>
      </c>
    </row>
    <row r="13" spans="1:19">
      <c r="A13" s="4" t="s">
        <v>127</v>
      </c>
      <c r="B13" s="4" t="s">
        <v>128</v>
      </c>
      <c r="C13" s="4" t="s">
        <v>129</v>
      </c>
      <c r="D13" s="4" t="s">
        <v>130</v>
      </c>
      <c r="E13" s="4" t="s">
        <v>35</v>
      </c>
      <c r="F13" s="4" t="s">
        <v>79</v>
      </c>
      <c r="G13" s="5" t="s">
        <v>80</v>
      </c>
      <c r="H13" s="5" t="s">
        <v>79</v>
      </c>
      <c r="I13" s="4" t="s">
        <v>131</v>
      </c>
      <c r="J13" s="4" t="s">
        <v>132</v>
      </c>
      <c r="K13" s="6">
        <v>20000</v>
      </c>
      <c r="L13" s="6">
        <v>20000</v>
      </c>
      <c r="M13" s="6">
        <v>20000</v>
      </c>
      <c r="N13" s="6">
        <f>IF(OR(G13="否",H13="否"),0,L13)</f>
        <v>0</v>
      </c>
      <c r="O13" s="6">
        <f>IF(OR(G13="否",H13="否"),0,M13)</f>
        <v>0</v>
      </c>
      <c r="P13" s="4" t="s">
        <v>133</v>
      </c>
      <c r="Q13" s="4" t="s">
        <v>134</v>
      </c>
      <c r="R13" s="7" t="s">
        <v>41</v>
      </c>
      <c r="S13" s="4" t="s">
        <v>135</v>
      </c>
    </row>
    <row r="14" spans="1:19">
      <c r="A14" s="4" t="s">
        <v>136</v>
      </c>
      <c r="B14" s="4" t="s">
        <v>137</v>
      </c>
      <c r="C14" s="4" t="s">
        <v>138</v>
      </c>
      <c r="D14" s="4" t="s">
        <v>139</v>
      </c>
      <c r="E14" s="4" t="s">
        <v>140</v>
      </c>
      <c r="F14" s="4" t="s">
        <v>79</v>
      </c>
      <c r="G14" s="5" t="s">
        <v>36</v>
      </c>
      <c r="H14" s="5" t="s">
        <v>36</v>
      </c>
      <c r="I14" s="4" t="s">
        <v>141</v>
      </c>
      <c r="J14" s="4" t="s">
        <v>142</v>
      </c>
      <c r="K14" s="6">
        <v>0</v>
      </c>
      <c r="L14" s="6">
        <v>3500</v>
      </c>
      <c r="M14" s="6">
        <v>7000</v>
      </c>
      <c r="N14" s="6">
        <f>IF(OR(G14="否",H14="否"),0,L14)</f>
        <v>3500</v>
      </c>
      <c r="O14" s="6">
        <f>IF(OR(G14="否",H14="否"),0,M14)</f>
        <v>7000</v>
      </c>
      <c r="P14" s="4" t="s">
        <v>143</v>
      </c>
      <c r="Q14" s="4" t="s">
        <v>144</v>
      </c>
      <c r="R14" s="5" t="s">
        <v>50</v>
      </c>
      <c r="S14" s="4" t="s">
        <v>145</v>
      </c>
    </row>
    <row r="15" spans="1:19">
      <c r="A15" s="4" t="s">
        <v>146</v>
      </c>
      <c r="B15" s="4" t="s">
        <v>147</v>
      </c>
      <c r="C15" s="4" t="s">
        <v>148</v>
      </c>
      <c r="D15" s="4" t="s">
        <v>139</v>
      </c>
      <c r="E15" s="4" t="s">
        <v>140</v>
      </c>
      <c r="F15" s="4" t="s">
        <v>79</v>
      </c>
      <c r="G15" s="5" t="s">
        <v>36</v>
      </c>
      <c r="H15" s="5" t="s">
        <v>79</v>
      </c>
      <c r="I15" s="4" t="s">
        <v>141</v>
      </c>
      <c r="J15" s="4" t="s">
        <v>149</v>
      </c>
      <c r="K15" s="6">
        <v>0</v>
      </c>
      <c r="L15" s="6">
        <v>6500</v>
      </c>
      <c r="M15" s="6">
        <v>6500</v>
      </c>
      <c r="N15" s="6">
        <f>IF(OR(G15="否",H15="否"),0,L15)</f>
        <v>0</v>
      </c>
      <c r="O15" s="6">
        <f>IF(OR(G15="否",H15="否"),0,M15)</f>
        <v>0</v>
      </c>
      <c r="P15" s="4" t="s">
        <v>150</v>
      </c>
      <c r="Q15" s="4" t="s">
        <v>151</v>
      </c>
      <c r="R15" s="7" t="s">
        <v>41</v>
      </c>
      <c r="S15" s="4" t="s">
        <v>152</v>
      </c>
    </row>
    <row r="16" spans="1:19">
      <c r="A16" s="4" t="s">
        <v>153</v>
      </c>
      <c r="B16" s="4" t="s">
        <v>154</v>
      </c>
      <c r="C16" s="4" t="s">
        <v>155</v>
      </c>
      <c r="D16" s="4" t="s">
        <v>139</v>
      </c>
      <c r="E16" s="4" t="s">
        <v>140</v>
      </c>
      <c r="F16" s="4" t="s">
        <v>79</v>
      </c>
      <c r="G16" s="5" t="s">
        <v>36</v>
      </c>
      <c r="H16" s="5" t="s">
        <v>79</v>
      </c>
      <c r="I16" s="4" t="s">
        <v>141</v>
      </c>
      <c r="J16" s="4" t="s">
        <v>156</v>
      </c>
      <c r="K16" s="6">
        <v>0</v>
      </c>
      <c r="L16" s="6">
        <v>6500</v>
      </c>
      <c r="M16" s="6">
        <v>13000</v>
      </c>
      <c r="N16" s="6">
        <f>IF(OR(G16="否",H16="否"),0,L16)</f>
        <v>0</v>
      </c>
      <c r="O16" s="6">
        <f>IF(OR(G16="否",H16="否"),0,M16)</f>
        <v>0</v>
      </c>
      <c r="P16" s="4" t="s">
        <v>157</v>
      </c>
      <c r="Q16" s="4" t="s">
        <v>158</v>
      </c>
      <c r="R16" s="7" t="s">
        <v>41</v>
      </c>
      <c r="S16" s="4" t="s">
        <v>159</v>
      </c>
    </row>
    <row r="17" spans="1:19">
      <c r="A17" s="4" t="s">
        <v>160</v>
      </c>
      <c r="B17" s="4" t="s">
        <v>161</v>
      </c>
      <c r="C17" s="4" t="s">
        <v>162</v>
      </c>
      <c r="D17" s="4" t="s">
        <v>139</v>
      </c>
      <c r="E17" s="4" t="s">
        <v>140</v>
      </c>
      <c r="F17" s="4" t="s">
        <v>79</v>
      </c>
      <c r="G17" s="5" t="s">
        <v>36</v>
      </c>
      <c r="H17" s="5" t="s">
        <v>79</v>
      </c>
      <c r="I17" s="4" t="s">
        <v>163</v>
      </c>
      <c r="J17" s="4" t="s">
        <v>164</v>
      </c>
      <c r="K17" s="6">
        <v>0</v>
      </c>
      <c r="L17" s="6">
        <v>1000</v>
      </c>
      <c r="M17" s="6">
        <v>2000</v>
      </c>
      <c r="N17" s="6">
        <f>IF(OR(G17="否",H17="否"),0,L17)</f>
        <v>0</v>
      </c>
      <c r="O17" s="6">
        <f>IF(OR(G17="否",H17="否"),0,M17)</f>
        <v>0</v>
      </c>
      <c r="P17" s="4" t="s">
        <v>165</v>
      </c>
      <c r="Q17" s="4" t="s">
        <v>166</v>
      </c>
      <c r="R17" s="5" t="s">
        <v>50</v>
      </c>
      <c r="S17" s="4" t="s">
        <v>167</v>
      </c>
    </row>
    <row r="18" spans="1:19">
      <c r="A18" s="4" t="s">
        <v>168</v>
      </c>
      <c r="B18" s="4" t="s">
        <v>169</v>
      </c>
      <c r="C18" s="4" t="s">
        <v>170</v>
      </c>
      <c r="D18" s="4" t="s">
        <v>139</v>
      </c>
      <c r="E18" s="4" t="s">
        <v>140</v>
      </c>
      <c r="F18" s="4" t="s">
        <v>79</v>
      </c>
      <c r="G18" s="5" t="s">
        <v>36</v>
      </c>
      <c r="H18" s="5" t="s">
        <v>79</v>
      </c>
      <c r="I18" s="4" t="s">
        <v>98</v>
      </c>
      <c r="J18" s="4" t="s">
        <v>171</v>
      </c>
      <c r="K18" s="6">
        <v>0</v>
      </c>
      <c r="L18" s="6">
        <v>3000</v>
      </c>
      <c r="M18" s="6">
        <v>6000</v>
      </c>
      <c r="N18" s="6">
        <f>IF(OR(G18="否",H18="否"),0,L18)</f>
        <v>0</v>
      </c>
      <c r="O18" s="6">
        <f>IF(OR(G18="否",H18="否"),0,M18)</f>
        <v>0</v>
      </c>
      <c r="P18" s="4" t="s">
        <v>172</v>
      </c>
      <c r="Q18" s="4" t="s">
        <v>173</v>
      </c>
      <c r="R18" s="5" t="s">
        <v>50</v>
      </c>
      <c r="S18" s="4" t="s">
        <v>174</v>
      </c>
    </row>
    <row r="19" spans="1:19">
      <c r="A19" s="4" t="s">
        <v>175</v>
      </c>
      <c r="B19" s="4" t="s">
        <v>176</v>
      </c>
      <c r="C19" s="4" t="s">
        <v>177</v>
      </c>
      <c r="D19" s="4" t="s">
        <v>139</v>
      </c>
      <c r="E19" s="4" t="s">
        <v>140</v>
      </c>
      <c r="F19" s="4" t="s">
        <v>79</v>
      </c>
      <c r="G19" s="5" t="s">
        <v>36</v>
      </c>
      <c r="H19" s="5" t="s">
        <v>79</v>
      </c>
      <c r="I19" s="4" t="s">
        <v>178</v>
      </c>
      <c r="J19" s="4" t="s">
        <v>179</v>
      </c>
      <c r="K19" s="6">
        <v>0</v>
      </c>
      <c r="L19" s="6">
        <v>2000</v>
      </c>
      <c r="M19" s="6">
        <v>4000</v>
      </c>
      <c r="N19" s="6">
        <f>IF(OR(G19="否",H19="否"),0,L19)</f>
        <v>0</v>
      </c>
      <c r="O19" s="6">
        <f>IF(OR(G19="否",H19="否"),0,M19)</f>
        <v>0</v>
      </c>
      <c r="P19" s="4" t="s">
        <v>172</v>
      </c>
      <c r="Q19" s="4" t="s">
        <v>180</v>
      </c>
      <c r="R19" s="5" t="s">
        <v>50</v>
      </c>
      <c r="S19" s="4" t="s">
        <v>181</v>
      </c>
    </row>
    <row r="20" spans="1:19">
      <c r="A20" s="4" t="s">
        <v>182</v>
      </c>
      <c r="B20" s="4" t="s">
        <v>183</v>
      </c>
      <c r="C20" s="4" t="s">
        <v>184</v>
      </c>
      <c r="D20" s="4" t="s">
        <v>185</v>
      </c>
      <c r="E20" s="4" t="s">
        <v>186</v>
      </c>
      <c r="F20" s="4" t="s">
        <v>36</v>
      </c>
      <c r="G20" s="5" t="s">
        <v>36</v>
      </c>
      <c r="H20" s="5" t="s">
        <v>36</v>
      </c>
      <c r="I20" s="4" t="s">
        <v>187</v>
      </c>
      <c r="J20" s="4" t="s">
        <v>188</v>
      </c>
      <c r="K20" s="6">
        <v>5000</v>
      </c>
      <c r="L20" s="6">
        <v>5000</v>
      </c>
      <c r="M20" s="6">
        <v>5000</v>
      </c>
      <c r="N20" s="6">
        <f>IF(OR(G20="否",H20="否"),0,L20)</f>
        <v>5000</v>
      </c>
      <c r="O20" s="6">
        <f>IF(OR(G20="否",H20="否"),0,M20)</f>
        <v>5000</v>
      </c>
      <c r="P20" s="4" t="s">
        <v>189</v>
      </c>
      <c r="Q20" s="4" t="s">
        <v>190</v>
      </c>
      <c r="R20" s="5" t="s">
        <v>50</v>
      </c>
      <c r="S20" s="4" t="s">
        <v>191</v>
      </c>
    </row>
    <row r="21" spans="1:19">
      <c r="A21" s="4" t="s">
        <v>192</v>
      </c>
      <c r="B21" s="4" t="s">
        <v>183</v>
      </c>
      <c r="C21" s="4" t="s">
        <v>193</v>
      </c>
      <c r="D21" s="4" t="s">
        <v>185</v>
      </c>
      <c r="E21" s="4" t="s">
        <v>186</v>
      </c>
      <c r="F21" s="4" t="s">
        <v>36</v>
      </c>
      <c r="G21" s="5" t="s">
        <v>36</v>
      </c>
      <c r="H21" s="5" t="s">
        <v>36</v>
      </c>
      <c r="I21" s="4" t="s">
        <v>194</v>
      </c>
      <c r="J21" s="4" t="s">
        <v>195</v>
      </c>
      <c r="K21" s="6">
        <v>2400</v>
      </c>
      <c r="L21" s="6">
        <v>2400</v>
      </c>
      <c r="M21" s="6">
        <v>2400</v>
      </c>
      <c r="N21" s="6">
        <f>IF(OR(G21="否",H21="否"),0,L21)</f>
        <v>2400</v>
      </c>
      <c r="O21" s="6">
        <f>IF(OR(G21="否",H21="否"),0,M21)</f>
        <v>2400</v>
      </c>
      <c r="P21" s="4" t="s">
        <v>196</v>
      </c>
      <c r="Q21" s="4" t="s">
        <v>197</v>
      </c>
      <c r="R21" s="5" t="s">
        <v>50</v>
      </c>
      <c r="S21" s="4" t="s">
        <v>198</v>
      </c>
    </row>
    <row r="22" spans="1:19">
      <c r="A22" s="4" t="s">
        <v>199</v>
      </c>
      <c r="B22" s="4" t="s">
        <v>200</v>
      </c>
      <c r="C22" s="4" t="s">
        <v>201</v>
      </c>
      <c r="D22" s="4" t="s">
        <v>185</v>
      </c>
      <c r="E22" s="4" t="s">
        <v>186</v>
      </c>
      <c r="F22" s="4" t="s">
        <v>79</v>
      </c>
      <c r="G22" s="5" t="s">
        <v>80</v>
      </c>
      <c r="H22" s="5" t="s">
        <v>79</v>
      </c>
      <c r="I22" s="4" t="s">
        <v>98</v>
      </c>
      <c r="J22" s="4" t="s">
        <v>202</v>
      </c>
      <c r="K22" s="6">
        <v>5000</v>
      </c>
      <c r="L22" s="6">
        <v>5000</v>
      </c>
      <c r="M22" s="6">
        <v>5000</v>
      </c>
      <c r="N22" s="6">
        <f>IF(OR(G22="否",H22="否"),0,L22)</f>
        <v>0</v>
      </c>
      <c r="O22" s="6">
        <f>IF(OR(G22="否",H22="否"),0,M22)</f>
        <v>0</v>
      </c>
      <c r="P22" s="4" t="s">
        <v>203</v>
      </c>
      <c r="Q22" s="4" t="s">
        <v>204</v>
      </c>
      <c r="R22" s="8" t="s">
        <v>102</v>
      </c>
      <c r="S22" s="4" t="s">
        <v>205</v>
      </c>
    </row>
    <row r="23" spans="1:19">
      <c r="A23" s="4" t="s">
        <v>206</v>
      </c>
      <c r="B23" s="4" t="s">
        <v>207</v>
      </c>
      <c r="C23" s="4" t="s">
        <v>208</v>
      </c>
      <c r="D23" s="4" t="s">
        <v>185</v>
      </c>
      <c r="E23" s="4" t="s">
        <v>186</v>
      </c>
      <c r="F23" s="4" t="s">
        <v>79</v>
      </c>
      <c r="G23" s="5" t="s">
        <v>80</v>
      </c>
      <c r="H23" s="5" t="s">
        <v>79</v>
      </c>
      <c r="I23" s="4" t="s">
        <v>209</v>
      </c>
      <c r="J23" s="4" t="s">
        <v>210</v>
      </c>
      <c r="K23" s="6">
        <v>6000</v>
      </c>
      <c r="L23" s="6">
        <v>6000</v>
      </c>
      <c r="M23" s="6">
        <v>6000</v>
      </c>
      <c r="N23" s="6">
        <f>IF(OR(G23="否",H23="否"),0,L23)</f>
        <v>0</v>
      </c>
      <c r="O23" s="6">
        <f>IF(OR(G23="否",H23="否"),0,M23)</f>
        <v>0</v>
      </c>
      <c r="P23" s="4" t="s">
        <v>211</v>
      </c>
      <c r="Q23" s="4" t="s">
        <v>212</v>
      </c>
      <c r="R23" s="5" t="s">
        <v>50</v>
      </c>
      <c r="S23" s="4" t="s">
        <v>213</v>
      </c>
    </row>
    <row r="24" spans="1:19">
      <c r="A24" s="4" t="s">
        <v>214</v>
      </c>
      <c r="B24" s="4" t="s">
        <v>215</v>
      </c>
      <c r="C24" s="4" t="s">
        <v>216</v>
      </c>
      <c r="D24" s="4" t="s">
        <v>185</v>
      </c>
      <c r="E24" s="4" t="s">
        <v>186</v>
      </c>
      <c r="F24" s="4" t="s">
        <v>79</v>
      </c>
      <c r="G24" s="5" t="s">
        <v>80</v>
      </c>
      <c r="H24" s="5" t="s">
        <v>79</v>
      </c>
      <c r="I24" s="4" t="s">
        <v>217</v>
      </c>
      <c r="J24" s="4" t="s">
        <v>218</v>
      </c>
      <c r="K24" s="6">
        <v>2500</v>
      </c>
      <c r="L24" s="6">
        <v>5000</v>
      </c>
      <c r="M24" s="6">
        <v>10000</v>
      </c>
      <c r="N24" s="6">
        <f>IF(OR(G24="否",H24="否"),0,L24)</f>
        <v>0</v>
      </c>
      <c r="O24" s="6">
        <f>IF(OR(G24="否",H24="否"),0,M24)</f>
        <v>0</v>
      </c>
      <c r="P24" s="4" t="s">
        <v>219</v>
      </c>
      <c r="Q24" s="4" t="s">
        <v>220</v>
      </c>
      <c r="R24" s="5" t="s">
        <v>50</v>
      </c>
      <c r="S24" s="4" t="s">
        <v>221</v>
      </c>
    </row>
    <row r="25" spans="1:19">
      <c r="A25" s="4" t="s">
        <v>222</v>
      </c>
      <c r="B25" s="4" t="s">
        <v>223</v>
      </c>
      <c r="C25" s="4" t="s">
        <v>224</v>
      </c>
      <c r="D25" s="4" t="s">
        <v>185</v>
      </c>
      <c r="E25" s="4" t="s">
        <v>186</v>
      </c>
      <c r="F25" s="4" t="s">
        <v>79</v>
      </c>
      <c r="G25" s="5" t="s">
        <v>80</v>
      </c>
      <c r="H25" s="5" t="s">
        <v>79</v>
      </c>
      <c r="I25" s="4" t="s">
        <v>225</v>
      </c>
      <c r="J25" s="4" t="s">
        <v>226</v>
      </c>
      <c r="K25" s="6">
        <v>0</v>
      </c>
      <c r="L25" s="6">
        <v>0</v>
      </c>
      <c r="M25" s="6">
        <v>4200</v>
      </c>
      <c r="N25" s="6">
        <f>IF(OR(G25="否",H25="否"),0,L25)</f>
        <v>0</v>
      </c>
      <c r="O25" s="6">
        <f>IF(OR(G25="否",H25="否"),0,M25)</f>
        <v>0</v>
      </c>
      <c r="P25" s="4" t="s">
        <v>227</v>
      </c>
      <c r="Q25" s="4" t="s">
        <v>228</v>
      </c>
      <c r="R25" s="5" t="s">
        <v>50</v>
      </c>
      <c r="S25" s="4" t="s">
        <v>229</v>
      </c>
    </row>
    <row r="26" spans="1:19">
      <c r="A26" s="4" t="s">
        <v>230</v>
      </c>
      <c r="B26" s="4" t="s">
        <v>231</v>
      </c>
      <c r="C26" s="4" t="s">
        <v>232</v>
      </c>
      <c r="D26" s="4" t="s">
        <v>185</v>
      </c>
      <c r="E26" s="4" t="s">
        <v>186</v>
      </c>
      <c r="F26" s="4" t="s">
        <v>79</v>
      </c>
      <c r="G26" s="5" t="s">
        <v>80</v>
      </c>
      <c r="H26" s="5" t="s">
        <v>79</v>
      </c>
      <c r="I26" s="4" t="s">
        <v>131</v>
      </c>
      <c r="J26" s="4" t="s">
        <v>233</v>
      </c>
      <c r="K26" s="6">
        <v>60000</v>
      </c>
      <c r="L26" s="6">
        <v>60000</v>
      </c>
      <c r="M26" s="6">
        <v>600000</v>
      </c>
      <c r="N26" s="6">
        <f>IF(OR(G26="否",H26="否"),0,L26)</f>
        <v>0</v>
      </c>
      <c r="O26" s="6">
        <f>IF(OR(G26="否",H26="否"),0,M26)</f>
        <v>0</v>
      </c>
      <c r="P26" s="4" t="s">
        <v>234</v>
      </c>
      <c r="Q26" s="4" t="s">
        <v>235</v>
      </c>
      <c r="R26" s="7" t="s">
        <v>41</v>
      </c>
      <c r="S26" s="4" t="s">
        <v>236</v>
      </c>
    </row>
    <row r="27" spans="1:19">
      <c r="A27" s="4" t="s">
        <v>237</v>
      </c>
      <c r="B27" s="4" t="s">
        <v>238</v>
      </c>
      <c r="C27" s="4" t="s">
        <v>239</v>
      </c>
      <c r="D27" s="4" t="s">
        <v>185</v>
      </c>
      <c r="E27" s="4" t="s">
        <v>186</v>
      </c>
      <c r="F27" s="4" t="s">
        <v>36</v>
      </c>
      <c r="G27" s="5" t="s">
        <v>36</v>
      </c>
      <c r="H27" s="5" t="s">
        <v>36</v>
      </c>
      <c r="I27" s="4" t="s">
        <v>240</v>
      </c>
      <c r="J27" s="4" t="s">
        <v>241</v>
      </c>
      <c r="K27" s="6">
        <v>30000</v>
      </c>
      <c r="L27" s="6">
        <v>30000</v>
      </c>
      <c r="M27" s="6">
        <v>30000</v>
      </c>
      <c r="N27" s="6">
        <f>IF(OR(G27="否",H27="否"),0,L27)</f>
        <v>30000</v>
      </c>
      <c r="O27" s="6">
        <f>IF(OR(G27="否",H27="否"),0,M27)</f>
        <v>30000</v>
      </c>
      <c r="P27" s="4" t="s">
        <v>242</v>
      </c>
      <c r="Q27" s="4" t="s">
        <v>243</v>
      </c>
      <c r="R27" s="7" t="s">
        <v>41</v>
      </c>
      <c r="S27" s="4" t="s">
        <v>244</v>
      </c>
    </row>
    <row r="28" spans="1:19">
      <c r="A28" s="4" t="s">
        <v>245</v>
      </c>
      <c r="B28" s="4" t="s">
        <v>246</v>
      </c>
      <c r="C28" s="4" t="s">
        <v>247</v>
      </c>
      <c r="D28" s="4" t="s">
        <v>185</v>
      </c>
      <c r="E28" s="4" t="s">
        <v>186</v>
      </c>
      <c r="F28" s="4" t="s">
        <v>79</v>
      </c>
      <c r="G28" s="5" t="s">
        <v>80</v>
      </c>
      <c r="H28" s="5" t="s">
        <v>79</v>
      </c>
      <c r="I28" s="4" t="s">
        <v>248</v>
      </c>
      <c r="J28" s="4" t="s">
        <v>249</v>
      </c>
      <c r="K28" s="6">
        <v>16000</v>
      </c>
      <c r="L28" s="6">
        <v>16000</v>
      </c>
      <c r="M28" s="6">
        <v>16000</v>
      </c>
      <c r="N28" s="6">
        <f>IF(OR(G28="否",H28="否"),0,L28)</f>
        <v>0</v>
      </c>
      <c r="O28" s="6">
        <f>IF(OR(G28="否",H28="否"),0,M28)</f>
        <v>0</v>
      </c>
      <c r="P28" s="4" t="s">
        <v>250</v>
      </c>
      <c r="Q28" s="4" t="s">
        <v>251</v>
      </c>
      <c r="R28" s="7" t="s">
        <v>41</v>
      </c>
      <c r="S28" s="4" t="s">
        <v>252</v>
      </c>
    </row>
    <row r="29" spans="1:19">
      <c r="A29" s="4" t="s">
        <v>253</v>
      </c>
      <c r="B29" s="4" t="s">
        <v>254</v>
      </c>
      <c r="C29" s="4" t="s">
        <v>255</v>
      </c>
      <c r="D29" s="4" t="s">
        <v>256</v>
      </c>
      <c r="E29" s="4" t="s">
        <v>257</v>
      </c>
      <c r="F29" s="4" t="s">
        <v>36</v>
      </c>
      <c r="G29" s="5" t="s">
        <v>36</v>
      </c>
      <c r="H29" s="5" t="s">
        <v>79</v>
      </c>
      <c r="I29" s="4" t="s">
        <v>258</v>
      </c>
      <c r="J29" s="4" t="s">
        <v>259</v>
      </c>
      <c r="K29" s="6">
        <v>0</v>
      </c>
      <c r="L29" s="6">
        <v>0</v>
      </c>
      <c r="M29" s="6">
        <v>0</v>
      </c>
      <c r="N29" s="6">
        <f>IF(OR(G29="否",H29="否"),0,L29)</f>
        <v>0</v>
      </c>
      <c r="O29" s="6">
        <f>IF(OR(G29="否",H29="否"),0,M29)</f>
        <v>0</v>
      </c>
      <c r="P29" s="4" t="s">
        <v>260</v>
      </c>
      <c r="Q29" s="4" t="s">
        <v>261</v>
      </c>
      <c r="R29" s="7" t="s">
        <v>41</v>
      </c>
      <c r="S29" s="4" t="s">
        <v>262</v>
      </c>
    </row>
  </sheetData>
  <autoFilter ref="A1:S29"/>
  <dataValidations count="2">
    <dataValidation type="list" allowBlank="1" showInputMessage="1" showErrorMessage="1" sqref="F2:H29">
      <formula1>"是,否,待定"</formula1>
    </dataValidation>
    <dataValidation type="list" allowBlank="1" showInputMessage="1" showErrorMessage="1" sqref="R2:R29">
      <formula1>"高,中,低"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56.7109375" customWidth="1"/>
  </cols>
  <sheetData>
    <row r="1" spans="1:4">
      <c r="A1" s="2" t="s">
        <v>263</v>
      </c>
      <c r="B1" s="2" t="s">
        <v>264</v>
      </c>
      <c r="C1" s="2" t="s">
        <v>24</v>
      </c>
      <c r="D1" s="2" t="s">
        <v>265</v>
      </c>
    </row>
    <row r="2" spans="1:4">
      <c r="A2" s="3" t="s">
        <v>35</v>
      </c>
      <c r="B2" s="9">
        <f>SUMIFS(预算清单!$N:$N,预算清单!$E:$E,"一次性基线")</f>
        <v>113100</v>
      </c>
      <c r="C2" s="9">
        <f>SUMIFS(预算清单!$O:$O,预算清单!$E:$E,"一次性基线")</f>
        <v>126100</v>
      </c>
      <c r="D2" s="4" t="s">
        <v>266</v>
      </c>
    </row>
    <row r="3" spans="1:4">
      <c r="A3" s="3" t="s">
        <v>140</v>
      </c>
      <c r="B3" s="9">
        <f>SUMIFS(预算清单!$N:$N,预算清单!$E:$E,"可选事件缓冲")</f>
        <v>3500</v>
      </c>
      <c r="C3" s="9">
        <f>SUMIFS(预算清单!$O:$O,预算清单!$E:$E,"可选事件缓冲")</f>
        <v>7000</v>
      </c>
      <c r="D3" s="4" t="s">
        <v>267</v>
      </c>
    </row>
    <row r="4" spans="1:4">
      <c r="A4" s="3" t="s">
        <v>186</v>
      </c>
      <c r="B4" s="9">
        <f>SUMIFS(预算清单!$N:$N,预算清单!$E:$E,"年化经常性")</f>
        <v>37400</v>
      </c>
      <c r="C4" s="9">
        <f>SUMIFS(预算清单!$O:$O,预算清单!$E:$E,"年化经常性")</f>
        <v>37400</v>
      </c>
      <c r="D4" s="4" t="s">
        <v>268</v>
      </c>
    </row>
    <row r="5" spans="1:4">
      <c r="A5" s="3" t="s">
        <v>257</v>
      </c>
      <c r="B5" s="9">
        <f>SUMIFS(预算清单!$N:$N,预算清单!$E:$E,"待补费率")</f>
        <v>0</v>
      </c>
      <c r="C5" s="9">
        <f>SUMIFS(预算清单!$O:$O,预算清单!$E:$E,"待补费率")</f>
        <v>0</v>
      </c>
      <c r="D5" s="4" t="s">
        <v>269</v>
      </c>
    </row>
    <row r="6" spans="1:4">
      <c r="A6" s="3" t="s">
        <v>270</v>
      </c>
      <c r="B6" s="9">
        <f>SUM(B2:B4)</f>
        <v>154000</v>
      </c>
      <c r="C6" s="9">
        <f>SUM(C2:C4)</f>
        <v>170500</v>
      </c>
      <c r="D6" s="4" t="s">
        <v>271</v>
      </c>
    </row>
    <row r="7" spans="1:4">
      <c r="A7" s="3" t="s">
        <v>272</v>
      </c>
      <c r="B7" s="9">
        <f>SUMIFS(预算清单!$N:$N,预算清单!$R:$R,"高")</f>
        <v>135000</v>
      </c>
      <c r="C7" s="9">
        <f>SUMIFS(预算清单!$O:$O,预算清单!$R:$R,"高")</f>
        <v>145000</v>
      </c>
      <c r="D7" s="4" t="s">
        <v>273</v>
      </c>
    </row>
    <row r="8" spans="1:4">
      <c r="A8" s="3" t="s">
        <v>274</v>
      </c>
      <c r="B8" s="9">
        <f>SUMIFS(预算清单!$L:$L,预算清单!$H:$H,"否")</f>
        <v>153050</v>
      </c>
      <c r="C8" s="9">
        <f>SUMIFS(预算清单!$M:$M,预算清单!$H:$H,"否")</f>
        <v>723800</v>
      </c>
      <c r="D8" s="4" t="s">
        <v>275</v>
      </c>
    </row>
    <row r="10" spans="1:4">
      <c r="A10" s="3" t="s">
        <v>276</v>
      </c>
      <c r="B10" s="4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34.7109375" customWidth="1"/>
    <col min="4" max="4" width="40.7109375" customWidth="1"/>
    <col min="5" max="5" width="36.7109375" customWidth="1"/>
  </cols>
  <sheetData>
    <row r="1" spans="1:5">
      <c r="A1" s="2" t="s">
        <v>278</v>
      </c>
      <c r="B1" s="2" t="s">
        <v>279</v>
      </c>
      <c r="C1" s="2" t="s">
        <v>280</v>
      </c>
      <c r="D1" s="2" t="s">
        <v>281</v>
      </c>
      <c r="E1" s="2" t="s">
        <v>282</v>
      </c>
    </row>
    <row r="2" spans="1:5">
      <c r="A2" s="4" t="s">
        <v>283</v>
      </c>
      <c r="B2" s="4" t="s">
        <v>284</v>
      </c>
      <c r="C2" s="4" t="s">
        <v>285</v>
      </c>
      <c r="D2" s="4" t="s">
        <v>33</v>
      </c>
      <c r="E2" s="4" t="s">
        <v>286</v>
      </c>
    </row>
    <row r="3" spans="1:5">
      <c r="A3" s="4" t="s">
        <v>287</v>
      </c>
      <c r="B3" s="4" t="s">
        <v>288</v>
      </c>
      <c r="C3" s="4" t="s">
        <v>289</v>
      </c>
      <c r="D3" s="4" t="s">
        <v>290</v>
      </c>
      <c r="E3" s="4" t="s">
        <v>291</v>
      </c>
    </row>
    <row r="4" spans="1:5">
      <c r="A4" s="4" t="s">
        <v>292</v>
      </c>
      <c r="B4" s="4" t="s">
        <v>53</v>
      </c>
      <c r="C4" s="4" t="s">
        <v>293</v>
      </c>
      <c r="D4" s="4" t="s">
        <v>54</v>
      </c>
      <c r="E4" s="4" t="s">
        <v>294</v>
      </c>
    </row>
    <row r="5" spans="1:5">
      <c r="A5" s="4" t="s">
        <v>295</v>
      </c>
      <c r="B5" s="4" t="s">
        <v>296</v>
      </c>
      <c r="C5" s="4" t="s">
        <v>297</v>
      </c>
      <c r="D5" s="4" t="s">
        <v>298</v>
      </c>
      <c r="E5" s="4" t="s">
        <v>299</v>
      </c>
    </row>
    <row r="6" spans="1:5">
      <c r="A6" s="4" t="s">
        <v>300</v>
      </c>
      <c r="B6" s="4" t="s">
        <v>301</v>
      </c>
      <c r="C6" s="4" t="s">
        <v>302</v>
      </c>
      <c r="D6" s="4" t="s">
        <v>303</v>
      </c>
      <c r="E6" s="4" t="s">
        <v>304</v>
      </c>
    </row>
    <row r="7" spans="1:5">
      <c r="A7" s="4" t="s">
        <v>305</v>
      </c>
      <c r="B7" s="4" t="s">
        <v>306</v>
      </c>
      <c r="C7" s="4" t="s">
        <v>307</v>
      </c>
      <c r="D7" s="4" t="s">
        <v>308</v>
      </c>
      <c r="E7" s="4" t="s">
        <v>309</v>
      </c>
    </row>
    <row r="8" spans="1:5">
      <c r="A8" s="4" t="s">
        <v>310</v>
      </c>
      <c r="B8" s="4" t="s">
        <v>311</v>
      </c>
      <c r="C8" s="4" t="s">
        <v>312</v>
      </c>
      <c r="D8" s="4" t="s">
        <v>313</v>
      </c>
      <c r="E8" s="4" t="s">
        <v>314</v>
      </c>
    </row>
    <row r="9" spans="1:5">
      <c r="A9" s="4" t="s">
        <v>315</v>
      </c>
      <c r="B9" s="4" t="s">
        <v>316</v>
      </c>
      <c r="C9" s="4" t="s">
        <v>317</v>
      </c>
      <c r="D9" s="4" t="s">
        <v>318</v>
      </c>
      <c r="E9" s="4" t="s">
        <v>319</v>
      </c>
    </row>
    <row r="10" spans="1:5">
      <c r="A10" s="4" t="s">
        <v>320</v>
      </c>
      <c r="B10" s="4" t="s">
        <v>238</v>
      </c>
      <c r="C10" s="4" t="s">
        <v>321</v>
      </c>
      <c r="D10" s="4" t="s">
        <v>239</v>
      </c>
      <c r="E10" s="4" t="s">
        <v>322</v>
      </c>
    </row>
    <row r="11" spans="1:5">
      <c r="A11" s="4" t="s">
        <v>323</v>
      </c>
      <c r="B11" s="4" t="s">
        <v>324</v>
      </c>
      <c r="C11" s="4" t="s">
        <v>325</v>
      </c>
      <c r="D11" s="4" t="s">
        <v>326</v>
      </c>
      <c r="E11" s="4" t="s">
        <v>327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预算说明</vt:lpstr>
      <vt:lpstr>预算清单</vt:lpstr>
      <vt:lpstr>预算汇总</vt:lpstr>
      <vt:lpstr>预算时间线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2026-04-08T08:17:45Z</dcterms:created>
  <dcterms:modified xsi:type="dcterms:W3CDTF">2026-04-08T08:17:45Z</dcterms:modified>
</cp:coreProperties>
</file>